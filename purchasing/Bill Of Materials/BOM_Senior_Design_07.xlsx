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eniorDesign\AutonomousFoosball\purchasing\Bill Of Materials\"/>
    </mc:Choice>
  </mc:AlternateContent>
  <xr:revisionPtr revIDLastSave="0" documentId="13_ncr:1_{EDAA6C3B-E49E-4299-9B36-4B61920412B2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BOM" sheetId="1" r:id="rId1"/>
    <sheet name="C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1" l="1"/>
  <c r="K6" i="1"/>
  <c r="C20" i="2"/>
  <c r="C13" i="2"/>
  <c r="C12" i="2"/>
  <c r="C11" i="2"/>
  <c r="C9" i="2"/>
  <c r="C8" i="2"/>
  <c r="C7" i="2"/>
  <c r="C6" i="2"/>
  <c r="C5" i="2"/>
  <c r="L7" i="1"/>
  <c r="I7" i="1"/>
  <c r="M6" i="1"/>
  <c r="C10" i="2" s="1"/>
  <c r="M5" i="1"/>
  <c r="K7" i="1" l="1"/>
  <c r="M7" i="1"/>
  <c r="C15" i="2" s="1"/>
  <c r="C14" i="2"/>
  <c r="C22" i="2" s="1"/>
  <c r="D9" i="2" l="1"/>
  <c r="D8" i="2"/>
  <c r="D7" i="2"/>
  <c r="C26" i="2"/>
  <c r="E15" i="2"/>
  <c r="D14" i="2"/>
  <c r="D6" i="2"/>
  <c r="D13" i="2"/>
  <c r="D5" i="2"/>
  <c r="D4" i="2"/>
  <c r="D12" i="2"/>
  <c r="D11" i="2"/>
  <c r="D10" i="2"/>
  <c r="C28" i="2" l="1"/>
  <c r="C27" i="2"/>
</calcChain>
</file>

<file path=xl/sharedStrings.xml><?xml version="1.0" encoding="utf-8"?>
<sst xmlns="http://schemas.openxmlformats.org/spreadsheetml/2006/main" count="89" uniqueCount="82">
  <si>
    <t>Item</t>
  </si>
  <si>
    <t>Category</t>
  </si>
  <si>
    <t>Subsystem</t>
  </si>
  <si>
    <t>Description</t>
  </si>
  <si>
    <t>Manufacturer</t>
  </si>
  <si>
    <t>Mfr Part Number</t>
  </si>
  <si>
    <t>Supplier</t>
  </si>
  <si>
    <t>Supplier Part Number</t>
  </si>
  <si>
    <t>Qty</t>
  </si>
  <si>
    <t>Unit Price</t>
  </si>
  <si>
    <t>Extended</t>
  </si>
  <si>
    <t>Tariff</t>
  </si>
  <si>
    <t>Line Total</t>
  </si>
  <si>
    <t>Order Ref</t>
  </si>
  <si>
    <t>Order Date</t>
  </si>
  <si>
    <t>Status</t>
  </si>
  <si>
    <t>Notes</t>
  </si>
  <si>
    <t>Compute / FPGA</t>
  </si>
  <si>
    <t>Control &amp; Processing</t>
  </si>
  <si>
    <t>Kria KV260 Vision AI Starter Kit (K26 SOM + vision carrier)</t>
  </si>
  <si>
    <t>AMD Xilinx</t>
  </si>
  <si>
    <t>SK-KV260-G</t>
  </si>
  <si>
    <t>DigiKey</t>
  </si>
  <si>
    <t>122-SK-KV260-G-ND</t>
  </si>
  <si>
    <t>DigiKey PO 101582370</t>
  </si>
  <si>
    <t>2026-09-12</t>
  </si>
  <si>
    <t>Ordered</t>
  </si>
  <si>
    <t>Main compute platform. Non-cancellable / non-returnable (NCNR) accepted at checkout.</t>
  </si>
  <si>
    <t>Power</t>
  </si>
  <si>
    <t>AC/DC wall mount adapter, 12 V, 36 W</t>
  </si>
  <si>
    <t>Bel Power Solutions</t>
  </si>
  <si>
    <t>SMI36-12-V-P6</t>
  </si>
  <si>
    <t>179-SMI36-12-V-P6-ND</t>
  </si>
  <si>
    <t>Power supply for the KV260 (12 V / 3 A).</t>
  </si>
  <si>
    <t>TOTAL (parts + tariff)</t>
  </si>
  <si>
    <t>How to use this sheet</t>
  </si>
  <si>
    <t>- Add each new part as a row directly ABOVE the TOTAL row so the SUM formulas expand automatically.</t>
  </si>
  <si>
    <t>- Fill in the blue cells only. Extended (col K) and Line Total (col M) are formulas - do not overwrite them.</t>
  </si>
  <si>
    <t>- Category (col B) drives the rollup on the Cost tab. Reuse the exact category names listed there, or add the new one to the Cost tab list.</t>
  </si>
  <si>
    <t>Project Cost Summary</t>
  </si>
  <si>
    <t>Cost by Category</t>
  </si>
  <si>
    <t>Parts + Tariff</t>
  </si>
  <si>
    <t>% of Parts</t>
  </si>
  <si>
    <t>Camera / Vision</t>
  </si>
  <si>
    <t>Camera, lens, lighting, mounts</t>
  </si>
  <si>
    <t>Motors &amp; Drivers</t>
  </si>
  <si>
    <t>Mechanical</t>
  </si>
  <si>
    <t>Rails, carriages, belts, pulleys, bearings, couplings, brackets</t>
  </si>
  <si>
    <t>Sensors &amp; Feedback</t>
  </si>
  <si>
    <t>Rod-angle encoders, home/limit switches</t>
  </si>
  <si>
    <t>PCB</t>
  </si>
  <si>
    <t>Motor-interface board fab + assembly</t>
  </si>
  <si>
    <t>Supplies, adapters, distribution</t>
  </si>
  <si>
    <t>Wiring &amp; Connectors</t>
  </si>
  <si>
    <t>Cable, connectors, cable chain</t>
  </si>
  <si>
    <t>Safety</t>
  </si>
  <si>
    <t>E-stop, contactors, fusing, guarding</t>
  </si>
  <si>
    <t>Misc / Consumables</t>
  </si>
  <si>
    <t>Fasteners, printing, spares</t>
  </si>
  <si>
    <t>Parts subtotal (incl. tariff)</t>
  </si>
  <si>
    <t>Sum of all categories above</t>
  </si>
  <si>
    <t>Check: BOM tab TOTAL row</t>
  </si>
  <si>
    <t>Order-Level Charges</t>
  </si>
  <si>
    <t>Amount</t>
  </si>
  <si>
    <t>Source</t>
  </si>
  <si>
    <t>Shipping - DigiKey PO 101582370</t>
  </si>
  <si>
    <t>FedEx 2 Day, per order acknowledgement</t>
  </si>
  <si>
    <t>Sales tax - DigiKey PO 101582370</t>
  </si>
  <si>
    <t>Per order acknowledgement</t>
  </si>
  <si>
    <t>Order-level subtotal</t>
  </si>
  <si>
    <t>TOTAL PROJECT COST TO DATE</t>
  </si>
  <si>
    <t>Parts + tariff + shipping + sales tax</t>
  </si>
  <si>
    <t>Budget Tracking</t>
  </si>
  <si>
    <t>Budget target</t>
  </si>
  <si>
    <t>Spent to date</t>
  </si>
  <si>
    <t>Remaining</t>
  </si>
  <si>
    <t>Budget consumed</t>
  </si>
  <si>
    <t>FoosPGA - Bill of Materials</t>
  </si>
  <si>
    <t>Last updated 2026-09-14</t>
  </si>
  <si>
    <t>SoC FPGA</t>
  </si>
  <si>
    <t>8 axes: 4x NEMA ?? linear, 4x NEMA ?? rotary + drivers</t>
  </si>
  <si>
    <t>KV260 board, SOM, future FPGA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</si>
</sst>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0.0%;\(0.0%\);\-"/>
  </numFmts>
  <fonts count="15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404040"/>
      <name val="Arial"/>
      <charset val="1"/>
    </font>
    <font>
      <sz val="10"/>
      <color rgb="FF008000"/>
      <name val="Arial"/>
      <charset val="1"/>
    </font>
    <font>
      <sz val="9"/>
      <color rgb="FF595959"/>
      <name val="Arial"/>
      <charset val="1"/>
    </font>
    <font>
      <sz val="9"/>
      <color rgb="FF008000"/>
      <name val="Arial"/>
      <charset val="1"/>
    </font>
    <font>
      <i/>
      <sz val="9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0" fontId="6" fillId="3" borderId="0" xfId="0" applyFont="1" applyFill="1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/>
    <xf numFmtId="0" fontId="7" fillId="0" borderId="0" xfId="0" applyFont="1"/>
    <xf numFmtId="0" fontId="8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 vertical="center"/>
    </xf>
    <xf numFmtId="0" fontId="5" fillId="0" borderId="1" xfId="0" applyFont="1" applyBorder="1"/>
    <xf numFmtId="164" fontId="9" fillId="0" borderId="1" xfId="0" applyNumberFormat="1" applyFont="1" applyBorder="1"/>
    <xf numFmtId="165" fontId="5" fillId="0" borderId="1" xfId="0" applyNumberFormat="1" applyFont="1" applyBorder="1"/>
    <xf numFmtId="0" fontId="10" fillId="0" borderId="1" xfId="0" applyFont="1" applyBorder="1"/>
    <xf numFmtId="165" fontId="6" fillId="3" borderId="0" xfId="0" applyNumberFormat="1" applyFont="1" applyFill="1"/>
    <xf numFmtId="0" fontId="10" fillId="3" borderId="0" xfId="0" applyFont="1" applyFill="1"/>
    <xf numFmtId="164" fontId="11" fillId="0" borderId="0" xfId="0" applyNumberFormat="1" applyFont="1"/>
    <xf numFmtId="0" fontId="12" fillId="0" borderId="0" xfId="0" applyFont="1"/>
    <xf numFmtId="0" fontId="13" fillId="2" borderId="0" xfId="0" applyFont="1" applyFill="1"/>
    <xf numFmtId="164" fontId="13" fillId="2" borderId="0" xfId="0" applyNumberFormat="1" applyFont="1" applyFill="1"/>
    <xf numFmtId="0" fontId="0" fillId="2" borderId="0" xfId="0" applyFill="1"/>
    <xf numFmtId="0" fontId="14" fillId="2" borderId="0" xfId="0" applyFont="1" applyFill="1"/>
    <xf numFmtId="164" fontId="4" fillId="4" borderId="1" xfId="0" applyNumberFormat="1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showGridLines="0" tabSelected="1" zoomScaleNormal="100" workbookViewId="0">
      <pane ySplit="4" topLeftCell="A5" activePane="bottomLeft" state="frozen"/>
      <selection pane="bottomLeft" activeCell="A14" sqref="A14:XFD14"/>
    </sheetView>
  </sheetViews>
  <sheetFormatPr defaultColWidth="8.6328125" defaultRowHeight="14.5" x14ac:dyDescent="0.35"/>
  <cols>
    <col min="1" max="1" width="6" customWidth="1"/>
    <col min="2" max="3" width="20" customWidth="1"/>
    <col min="4" max="4" width="34" customWidth="1"/>
    <col min="5" max="6" width="20" customWidth="1"/>
    <col min="7" max="7" width="12" customWidth="1"/>
    <col min="8" max="8" width="22" customWidth="1"/>
    <col min="9" max="9" width="6" customWidth="1"/>
    <col min="10" max="11" width="12" customWidth="1"/>
    <col min="12" max="12" width="10" customWidth="1"/>
    <col min="13" max="13" width="12" customWidth="1"/>
    <col min="14" max="14" width="16" customWidth="1"/>
    <col min="15" max="15" width="12" customWidth="1"/>
    <col min="16" max="16" width="14" customWidth="1"/>
    <col min="17" max="17" width="40" customWidth="1"/>
  </cols>
  <sheetData>
    <row r="1" spans="1:17" ht="17.25" customHeight="1" x14ac:dyDescent="0.4">
      <c r="A1" s="1" t="s">
        <v>77</v>
      </c>
    </row>
    <row r="2" spans="1:17" ht="15" customHeight="1" x14ac:dyDescent="0.35">
      <c r="A2" s="2" t="s">
        <v>78</v>
      </c>
    </row>
    <row r="4" spans="1:17" ht="30" customHeight="1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 spans="1:17" ht="30" customHeight="1" x14ac:dyDescent="0.35">
      <c r="A5" s="4">
        <v>1</v>
      </c>
      <c r="B5" s="5" t="s">
        <v>79</v>
      </c>
      <c r="C5" s="5" t="s">
        <v>18</v>
      </c>
      <c r="D5" s="6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4">
        <v>1</v>
      </c>
      <c r="J5" s="7">
        <v>283.86</v>
      </c>
      <c r="K5" s="8">
        <f>I5*J5</f>
        <v>283.86</v>
      </c>
      <c r="L5" s="7">
        <v>22.71</v>
      </c>
      <c r="M5" s="9">
        <f>K5+L5</f>
        <v>306.57</v>
      </c>
      <c r="N5" s="5" t="s">
        <v>24</v>
      </c>
      <c r="O5" s="4" t="s">
        <v>25</v>
      </c>
      <c r="P5" s="4" t="s">
        <v>26</v>
      </c>
      <c r="Q5" s="6" t="s">
        <v>27</v>
      </c>
    </row>
    <row r="6" spans="1:17" ht="30" customHeight="1" x14ac:dyDescent="0.35">
      <c r="A6" s="4">
        <v>2</v>
      </c>
      <c r="B6" s="5" t="s">
        <v>28</v>
      </c>
      <c r="C6" s="5" t="s">
        <v>18</v>
      </c>
      <c r="D6" s="6" t="s">
        <v>29</v>
      </c>
      <c r="E6" s="5" t="s">
        <v>30</v>
      </c>
      <c r="F6" s="5" t="s">
        <v>31</v>
      </c>
      <c r="G6" s="5" t="s">
        <v>22</v>
      </c>
      <c r="H6" s="5" t="s">
        <v>32</v>
      </c>
      <c r="I6" s="4">
        <v>1</v>
      </c>
      <c r="J6" s="7">
        <v>37.78</v>
      </c>
      <c r="K6" s="8">
        <f>I6*J6</f>
        <v>37.78</v>
      </c>
      <c r="L6" s="7">
        <v>7.56</v>
      </c>
      <c r="M6" s="9">
        <f>K6+L6</f>
        <v>45.34</v>
      </c>
      <c r="N6" s="5" t="s">
        <v>24</v>
      </c>
      <c r="O6" s="4" t="s">
        <v>25</v>
      </c>
      <c r="P6" s="4" t="s">
        <v>26</v>
      </c>
      <c r="Q6" s="6" t="s">
        <v>33</v>
      </c>
    </row>
    <row r="7" spans="1:17" ht="15" customHeight="1" x14ac:dyDescent="0.35">
      <c r="A7" s="10" t="s">
        <v>34</v>
      </c>
      <c r="B7" s="11"/>
      <c r="C7" s="11"/>
      <c r="D7" s="11"/>
      <c r="E7" s="11"/>
      <c r="F7" s="11"/>
      <c r="G7" s="11"/>
      <c r="H7" s="11"/>
      <c r="I7" s="12">
        <f>SUM(I5:I6)</f>
        <v>2</v>
      </c>
      <c r="J7" s="11"/>
      <c r="K7" s="13">
        <f>SUM(K5:K6)</f>
        <v>321.64</v>
      </c>
      <c r="L7" s="13">
        <f>SUM(L5:L6)</f>
        <v>30.27</v>
      </c>
      <c r="M7" s="13">
        <f>SUM(M5:M6)</f>
        <v>351.90999999999997</v>
      </c>
      <c r="N7" s="11"/>
      <c r="O7" s="11"/>
      <c r="P7" s="11"/>
      <c r="Q7" s="11"/>
    </row>
    <row r="9" spans="1:17" ht="15" customHeight="1" x14ac:dyDescent="0.35">
      <c r="A9" s="14" t="s">
        <v>35</v>
      </c>
    </row>
    <row r="10" spans="1:17" ht="15" customHeight="1" x14ac:dyDescent="0.35">
      <c r="A10" s="15" t="s">
        <v>36</v>
      </c>
    </row>
    <row r="11" spans="1:17" ht="15" customHeight="1" x14ac:dyDescent="0.35">
      <c r="A11" s="15" t="s">
        <v>37</v>
      </c>
    </row>
    <row r="12" spans="1:17" ht="15" customHeight="1" x14ac:dyDescent="0.35">
      <c r="A12" s="15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4"/>
  <sheetViews>
    <sheetView showGridLines="0" zoomScaleNormal="100" workbookViewId="0">
      <selection activeCell="B30" sqref="B30"/>
    </sheetView>
  </sheetViews>
  <sheetFormatPr defaultColWidth="8.6328125" defaultRowHeight="14.5" x14ac:dyDescent="0.35"/>
  <cols>
    <col min="1" max="1" width="4" customWidth="1"/>
    <col min="2" max="2" width="35.54296875" customWidth="1"/>
    <col min="3" max="4" width="16" customWidth="1"/>
    <col min="5" max="5" width="46" customWidth="1"/>
  </cols>
  <sheetData>
    <row r="1" spans="2:5" ht="17.25" customHeight="1" x14ac:dyDescent="0.4">
      <c r="B1" s="1" t="s">
        <v>39</v>
      </c>
    </row>
    <row r="3" spans="2:5" ht="15" customHeight="1" x14ac:dyDescent="0.35">
      <c r="B3" s="16" t="s">
        <v>40</v>
      </c>
      <c r="C3" s="17" t="s">
        <v>41</v>
      </c>
      <c r="D3" s="17" t="s">
        <v>42</v>
      </c>
      <c r="E3" s="16" t="s">
        <v>16</v>
      </c>
    </row>
    <row r="4" spans="2:5" ht="15" customHeight="1" x14ac:dyDescent="0.35">
      <c r="B4" s="18" t="s">
        <v>17</v>
      </c>
      <c r="C4" s="19">
        <v>306.57</v>
      </c>
      <c r="D4" s="20">
        <f t="shared" ref="D4:D13" si="0">IF($C$14=0,0,C4/$C$14)</f>
        <v>0.87116023983404856</v>
      </c>
      <c r="E4" s="21" t="s">
        <v>81</v>
      </c>
    </row>
    <row r="5" spans="2:5" ht="15" customHeight="1" x14ac:dyDescent="0.35">
      <c r="B5" s="18" t="s">
        <v>43</v>
      </c>
      <c r="C5" s="19">
        <f>SUMIFS(BOM!$M$5:$M$6,BOM!$B$5:$B$6,$B5)</f>
        <v>0</v>
      </c>
      <c r="D5" s="20">
        <f t="shared" si="0"/>
        <v>0</v>
      </c>
      <c r="E5" s="21" t="s">
        <v>44</v>
      </c>
    </row>
    <row r="6" spans="2:5" ht="15" customHeight="1" x14ac:dyDescent="0.35">
      <c r="B6" s="18" t="s">
        <v>45</v>
      </c>
      <c r="C6" s="19">
        <f>SUMIFS(BOM!$M$5:$M$6,BOM!$B$5:$B$6,$B6)</f>
        <v>0</v>
      </c>
      <c r="D6" s="20">
        <f t="shared" si="0"/>
        <v>0</v>
      </c>
      <c r="E6" s="21" t="s">
        <v>80</v>
      </c>
    </row>
    <row r="7" spans="2:5" ht="15" customHeight="1" x14ac:dyDescent="0.35">
      <c r="B7" s="18" t="s">
        <v>46</v>
      </c>
      <c r="C7" s="19">
        <f>SUMIFS(BOM!$M$5:$M$6,BOM!$B$5:$B$6,$B7)</f>
        <v>0</v>
      </c>
      <c r="D7" s="20">
        <f t="shared" si="0"/>
        <v>0</v>
      </c>
      <c r="E7" s="21" t="s">
        <v>47</v>
      </c>
    </row>
    <row r="8" spans="2:5" ht="15" customHeight="1" x14ac:dyDescent="0.35">
      <c r="B8" s="18" t="s">
        <v>48</v>
      </c>
      <c r="C8" s="19">
        <f>SUMIFS(BOM!$M$5:$M$6,BOM!$B$5:$B$6,$B8)</f>
        <v>0</v>
      </c>
      <c r="D8" s="20">
        <f t="shared" si="0"/>
        <v>0</v>
      </c>
      <c r="E8" s="21" t="s">
        <v>49</v>
      </c>
    </row>
    <row r="9" spans="2:5" ht="15" customHeight="1" x14ac:dyDescent="0.35">
      <c r="B9" s="18" t="s">
        <v>50</v>
      </c>
      <c r="C9" s="19">
        <f>SUMIFS(BOM!$M$5:$M$6,BOM!$B$5:$B$6,$B9)</f>
        <v>0</v>
      </c>
      <c r="D9" s="20">
        <f t="shared" si="0"/>
        <v>0</v>
      </c>
      <c r="E9" s="21" t="s">
        <v>51</v>
      </c>
    </row>
    <row r="10" spans="2:5" ht="15" customHeight="1" x14ac:dyDescent="0.35">
      <c r="B10" s="18" t="s">
        <v>28</v>
      </c>
      <c r="C10" s="19">
        <f>SUMIFS(BOM!$M$5:$M$6,BOM!$B$5:$B$6,$B10)</f>
        <v>45.34</v>
      </c>
      <c r="D10" s="20">
        <f t="shared" si="0"/>
        <v>0.12883976016595156</v>
      </c>
      <c r="E10" s="21" t="s">
        <v>52</v>
      </c>
    </row>
    <row r="11" spans="2:5" ht="15" customHeight="1" x14ac:dyDescent="0.35">
      <c r="B11" s="18" t="s">
        <v>53</v>
      </c>
      <c r="C11" s="19">
        <f>SUMIFS(BOM!$M$5:$M$6,BOM!$B$5:$B$6,$B11)</f>
        <v>0</v>
      </c>
      <c r="D11" s="20">
        <f t="shared" si="0"/>
        <v>0</v>
      </c>
      <c r="E11" s="21" t="s">
        <v>54</v>
      </c>
    </row>
    <row r="12" spans="2:5" ht="15" customHeight="1" x14ac:dyDescent="0.35">
      <c r="B12" s="18" t="s">
        <v>55</v>
      </c>
      <c r="C12" s="19">
        <f>SUMIFS(BOM!$M$5:$M$6,BOM!$B$5:$B$6,$B12)</f>
        <v>0</v>
      </c>
      <c r="D12" s="20">
        <f t="shared" si="0"/>
        <v>0</v>
      </c>
      <c r="E12" s="21" t="s">
        <v>56</v>
      </c>
    </row>
    <row r="13" spans="2:5" ht="15" customHeight="1" x14ac:dyDescent="0.35">
      <c r="B13" s="18" t="s">
        <v>57</v>
      </c>
      <c r="C13" s="19">
        <f>SUMIFS(BOM!$M$5:$M$6,BOM!$B$5:$B$6,$B13)</f>
        <v>0</v>
      </c>
      <c r="D13" s="20">
        <f t="shared" si="0"/>
        <v>0</v>
      </c>
      <c r="E13" s="21" t="s">
        <v>58</v>
      </c>
    </row>
    <row r="14" spans="2:5" ht="15" customHeight="1" x14ac:dyDescent="0.35">
      <c r="B14" s="10" t="s">
        <v>59</v>
      </c>
      <c r="C14" s="13">
        <f>SUM(C4:C13)</f>
        <v>351.90999999999997</v>
      </c>
      <c r="D14" s="22">
        <f>IF(C14=0,0,1)</f>
        <v>1</v>
      </c>
      <c r="E14" s="23" t="s">
        <v>60</v>
      </c>
    </row>
    <row r="15" spans="2:5" ht="15" customHeight="1" x14ac:dyDescent="0.35">
      <c r="B15" s="2" t="s">
        <v>61</v>
      </c>
      <c r="C15" s="24">
        <f>BOM!M7</f>
        <v>351.90999999999997</v>
      </c>
      <c r="E15" s="25" t="str">
        <f>IF(ROUND(C14-C15,2)=0,"OK - every BOM line is captured by a category","MISMATCH - a BOM row uses a category not listed above")</f>
        <v>OK - every BOM line is captured by a category</v>
      </c>
    </row>
    <row r="17" spans="2:5" ht="15" customHeight="1" x14ac:dyDescent="0.35">
      <c r="B17" s="16" t="s">
        <v>62</v>
      </c>
      <c r="C17" s="17" t="s">
        <v>63</v>
      </c>
      <c r="D17" s="11"/>
      <c r="E17" s="16" t="s">
        <v>64</v>
      </c>
    </row>
    <row r="18" spans="2:5" ht="15" customHeight="1" x14ac:dyDescent="0.35">
      <c r="B18" s="18" t="s">
        <v>65</v>
      </c>
      <c r="C18" s="7">
        <v>13.99</v>
      </c>
      <c r="E18" s="21" t="s">
        <v>66</v>
      </c>
    </row>
    <row r="19" spans="2:5" ht="15" customHeight="1" x14ac:dyDescent="0.35">
      <c r="B19" s="18" t="s">
        <v>67</v>
      </c>
      <c r="C19" s="7">
        <v>21.99</v>
      </c>
      <c r="E19" s="21" t="s">
        <v>68</v>
      </c>
    </row>
    <row r="20" spans="2:5" ht="15" customHeight="1" x14ac:dyDescent="0.35">
      <c r="B20" s="10" t="s">
        <v>69</v>
      </c>
      <c r="C20" s="13">
        <f>SUM(C18:C19)</f>
        <v>35.979999999999997</v>
      </c>
      <c r="D20" s="11"/>
      <c r="E20" s="11"/>
    </row>
    <row r="22" spans="2:5" ht="19.5" customHeight="1" x14ac:dyDescent="0.35">
      <c r="B22" s="26" t="s">
        <v>70</v>
      </c>
      <c r="C22" s="27">
        <f>C14+C20</f>
        <v>387.89</v>
      </c>
      <c r="D22" s="28"/>
      <c r="E22" s="29" t="s">
        <v>71</v>
      </c>
    </row>
    <row r="24" spans="2:5" ht="15" customHeight="1" x14ac:dyDescent="0.35">
      <c r="B24" s="16" t="s">
        <v>72</v>
      </c>
      <c r="C24" s="11"/>
      <c r="D24" s="11"/>
      <c r="E24" s="11"/>
    </row>
    <row r="25" spans="2:5" ht="15" customHeight="1" x14ac:dyDescent="0.35">
      <c r="B25" s="18" t="s">
        <v>73</v>
      </c>
      <c r="C25" s="30">
        <v>1500</v>
      </c>
      <c r="E25" s="21"/>
    </row>
    <row r="26" spans="2:5" ht="15" customHeight="1" x14ac:dyDescent="0.35">
      <c r="B26" s="18" t="s">
        <v>74</v>
      </c>
      <c r="C26" s="8">
        <f>C22</f>
        <v>387.89</v>
      </c>
    </row>
    <row r="27" spans="2:5" ht="15" customHeight="1" x14ac:dyDescent="0.35">
      <c r="B27" s="31" t="s">
        <v>75</v>
      </c>
      <c r="C27" s="9">
        <f>C25-C26</f>
        <v>1112.1100000000001</v>
      </c>
    </row>
    <row r="28" spans="2:5" ht="15" customHeight="1" x14ac:dyDescent="0.35">
      <c r="B28" s="18" t="s">
        <v>76</v>
      </c>
      <c r="C28" s="20">
        <f>IF(C25=0,0,C26/C25)</f>
        <v>0.25859333333333334</v>
      </c>
    </row>
    <row r="30" spans="2:5" ht="15" customHeight="1" x14ac:dyDescent="0.35">
      <c r="B30" s="14"/>
    </row>
    <row r="31" spans="2:5" ht="15" customHeight="1" x14ac:dyDescent="0.35">
      <c r="B31" s="15"/>
    </row>
    <row r="32" spans="2:5" ht="15" customHeight="1" x14ac:dyDescent="0.35">
      <c r="B32" s="15"/>
    </row>
    <row r="33" spans="2:2" ht="15" customHeight="1" x14ac:dyDescent="0.35">
      <c r="B33" s="15"/>
    </row>
    <row r="34" spans="2:2" ht="15" customHeight="1" x14ac:dyDescent="0.35">
      <c r="B34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Manfredi</dc:creator>
  <dc:description/>
  <cp:lastModifiedBy>Manfredi, Ethan</cp:lastModifiedBy>
  <cp:revision>0</cp:revision>
  <dcterms:created xsi:type="dcterms:W3CDTF">2015-06-05T18:17:20Z</dcterms:created>
  <dcterms:modified xsi:type="dcterms:W3CDTF">2026-09-14T14:36:51Z</dcterms:modified>
  <dc:language>en-US</dc:language>
</cp:coreProperties>
</file>